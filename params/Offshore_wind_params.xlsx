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isgov.sharepoint.com/sites/EnergyEngineeringSICE/Shared Documents/SCORES model/01 Documentation/Assumptions/"/>
    </mc:Choice>
  </mc:AlternateContent>
  <xr:revisionPtr revIDLastSave="6" documentId="14_{E3C2DDCA-E46A-479C-86DF-D0DE374B25DF}" xr6:coauthVersionLast="47" xr6:coauthVersionMax="47" xr10:uidLastSave="{1E3B5DB4-7130-4E16-AF22-9311F371F11D}"/>
  <bookViews>
    <workbookView xWindow="-120" yWindow="-120" windowWidth="29040" windowHeight="15840" xr2:uid="{46C4AACB-405E-46C6-8147-0D02E3038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2" i="1"/>
</calcChain>
</file>

<file path=xl/sharedStrings.xml><?xml version="1.0" encoding="utf-8"?>
<sst xmlns="http://schemas.openxmlformats.org/spreadsheetml/2006/main" count="6" uniqueCount="6">
  <si>
    <t>Turbine Size (MW)</t>
  </si>
  <si>
    <t>Cut out speed</t>
  </si>
  <si>
    <t>Rotor Diameter (m)</t>
  </si>
  <si>
    <t>Hub height (m)</t>
  </si>
  <si>
    <t>Rated wind speed</t>
  </si>
  <si>
    <t>Cut in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</si>
</sst>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E1B5F-CC70-48B8-8923-7F50B2181E02}">
  <dimension ref="A1:F38"/>
  <sheetViews>
    <sheetView tabSelected="1" zoomScale="115" zoomScaleNormal="115" workbookViewId="0">
      <selection activeCell="C7" sqref="C7"/>
    </sheetView>
  </sheetViews>
  <sheetFormatPr defaultRowHeight="15" x14ac:dyDescent="0.25"/>
  <cols>
    <col min="1" max="1" width="18.140625" customWidth="1"/>
    <col min="2" max="2" width="11.7109375" bestFit="1" customWidth="1"/>
    <col min="3" max="3" width="16.5703125" bestFit="1" customWidth="1"/>
    <col min="4" max="4" width="12.85546875" bestFit="1" customWidth="1"/>
    <col min="5" max="5" width="18.85546875" customWidth="1"/>
    <col min="6" max="6" width="13" customWidth="1"/>
  </cols>
  <sheetData>
    <row r="1" spans="1:6" x14ac:dyDescent="0.25">
      <c r="A1" t="s">
        <v>0</v>
      </c>
      <c r="B1" t="s">
        <v>5</v>
      </c>
      <c r="C1" t="s">
        <v>4</v>
      </c>
      <c r="D1" t="s">
        <v>1</v>
      </c>
      <c r="E1" t="s">
        <v>2</v>
      </c>
      <c r="F1" t="s">
        <v>3</v>
      </c>
    </row>
    <row r="2" spans="1:6" x14ac:dyDescent="0.25">
      <c r="A2">
        <v>2</v>
      </c>
      <c r="B2">
        <v>3</v>
      </c>
      <c r="C2">
        <v>13</v>
      </c>
      <c r="D2">
        <v>25</v>
      </c>
      <c r="E2" s="1">
        <f>62.3006*A2^0.5-7.8625</f>
        <v>80.243853463981253</v>
      </c>
      <c r="F2" s="1">
        <f>5.53*A2+72.3</f>
        <v>83.36</v>
      </c>
    </row>
    <row r="3" spans="1:6" x14ac:dyDescent="0.25">
      <c r="A3">
        <v>2.5</v>
      </c>
      <c r="B3">
        <v>3</v>
      </c>
      <c r="C3">
        <v>13</v>
      </c>
      <c r="D3">
        <v>25</v>
      </c>
      <c r="E3" s="1">
        <f t="shared" ref="E3:E38" si="0">62.3006*A3^0.5-7.8625</f>
        <v>90.643397797543074</v>
      </c>
      <c r="F3" s="1">
        <f t="shared" ref="F3:F38" si="1">5.53*A3+72.3</f>
        <v>86.125</v>
      </c>
    </row>
    <row r="4" spans="1:6" x14ac:dyDescent="0.25">
      <c r="A4">
        <v>3</v>
      </c>
      <c r="B4">
        <v>3</v>
      </c>
      <c r="C4">
        <v>13</v>
      </c>
      <c r="D4">
        <v>25</v>
      </c>
      <c r="E4" s="1">
        <f t="shared" si="0"/>
        <v>100.0453045420256</v>
      </c>
      <c r="F4" s="1">
        <f t="shared" si="1"/>
        <v>88.89</v>
      </c>
    </row>
    <row r="5" spans="1:6" x14ac:dyDescent="0.25">
      <c r="A5">
        <v>3.5</v>
      </c>
      <c r="B5">
        <v>3</v>
      </c>
      <c r="C5">
        <v>13</v>
      </c>
      <c r="D5">
        <v>25</v>
      </c>
      <c r="E5" s="1">
        <f t="shared" si="0"/>
        <v>108.69125009522432</v>
      </c>
      <c r="F5" s="1">
        <f t="shared" si="1"/>
        <v>91.655000000000001</v>
      </c>
    </row>
    <row r="6" spans="1:6" x14ac:dyDescent="0.25">
      <c r="A6">
        <v>4</v>
      </c>
      <c r="B6">
        <v>3</v>
      </c>
      <c r="C6">
        <v>13</v>
      </c>
      <c r="D6">
        <v>25</v>
      </c>
      <c r="E6" s="1">
        <f t="shared" si="0"/>
        <v>116.73870000000001</v>
      </c>
      <c r="F6" s="1">
        <f t="shared" si="1"/>
        <v>94.42</v>
      </c>
    </row>
    <row r="7" spans="1:6" x14ac:dyDescent="0.25">
      <c r="A7">
        <v>4.5</v>
      </c>
      <c r="B7">
        <v>3</v>
      </c>
      <c r="C7">
        <v>13</v>
      </c>
      <c r="D7">
        <v>28</v>
      </c>
      <c r="E7" s="1">
        <f t="shared" si="0"/>
        <v>124.29703019597186</v>
      </c>
      <c r="F7" s="1">
        <f t="shared" si="1"/>
        <v>97.185000000000002</v>
      </c>
    </row>
    <row r="8" spans="1:6" x14ac:dyDescent="0.25">
      <c r="A8">
        <v>5</v>
      </c>
      <c r="B8">
        <v>3</v>
      </c>
      <c r="C8">
        <v>13</v>
      </c>
      <c r="D8">
        <v>28</v>
      </c>
      <c r="E8" s="1">
        <f t="shared" si="0"/>
        <v>131.4458766390234</v>
      </c>
      <c r="F8" s="1">
        <f t="shared" si="1"/>
        <v>99.95</v>
      </c>
    </row>
    <row r="9" spans="1:6" x14ac:dyDescent="0.25">
      <c r="A9">
        <v>5.5</v>
      </c>
      <c r="B9">
        <v>3</v>
      </c>
      <c r="C9">
        <v>13</v>
      </c>
      <c r="D9">
        <v>28</v>
      </c>
      <c r="E9" s="1">
        <f t="shared" si="0"/>
        <v>138.24535804322778</v>
      </c>
      <c r="F9" s="1">
        <f t="shared" si="1"/>
        <v>102.715</v>
      </c>
    </row>
    <row r="10" spans="1:6" x14ac:dyDescent="0.25">
      <c r="A10">
        <v>6</v>
      </c>
      <c r="B10">
        <v>3</v>
      </c>
      <c r="C10">
        <v>13</v>
      </c>
      <c r="D10">
        <v>28</v>
      </c>
      <c r="E10" s="1">
        <f t="shared" si="0"/>
        <v>144.74218066923765</v>
      </c>
      <c r="F10" s="1">
        <f t="shared" si="1"/>
        <v>105.47999999999999</v>
      </c>
    </row>
    <row r="11" spans="1:6" x14ac:dyDescent="0.25">
      <c r="A11">
        <v>6.5</v>
      </c>
      <c r="B11">
        <v>3</v>
      </c>
      <c r="C11">
        <v>13</v>
      </c>
      <c r="D11">
        <v>28</v>
      </c>
      <c r="E11" s="1">
        <f t="shared" si="0"/>
        <v>150.9734875542693</v>
      </c>
      <c r="F11" s="1">
        <f t="shared" si="1"/>
        <v>108.245</v>
      </c>
    </row>
    <row r="12" spans="1:6" x14ac:dyDescent="0.25">
      <c r="A12">
        <v>7</v>
      </c>
      <c r="B12">
        <v>3</v>
      </c>
      <c r="C12">
        <v>13</v>
      </c>
      <c r="D12">
        <v>28</v>
      </c>
      <c r="E12" s="1">
        <f t="shared" si="0"/>
        <v>156.96939413011063</v>
      </c>
      <c r="F12" s="1">
        <f t="shared" si="1"/>
        <v>111.00999999999999</v>
      </c>
    </row>
    <row r="13" spans="1:6" x14ac:dyDescent="0.25">
      <c r="A13">
        <v>7.5</v>
      </c>
      <c r="B13">
        <v>3</v>
      </c>
      <c r="C13">
        <v>13</v>
      </c>
      <c r="D13">
        <v>28</v>
      </c>
      <c r="E13" s="1">
        <f t="shared" si="0"/>
        <v>162.75471983053177</v>
      </c>
      <c r="F13" s="1">
        <f t="shared" si="1"/>
        <v>113.77500000000001</v>
      </c>
    </row>
    <row r="14" spans="1:6" x14ac:dyDescent="0.25">
      <c r="A14">
        <v>8</v>
      </c>
      <c r="B14">
        <v>3</v>
      </c>
      <c r="C14">
        <v>13</v>
      </c>
      <c r="D14">
        <v>28</v>
      </c>
      <c r="E14" s="1">
        <f t="shared" si="0"/>
        <v>168.35020692796249</v>
      </c>
      <c r="F14" s="1">
        <f t="shared" si="1"/>
        <v>116.53999999999999</v>
      </c>
    </row>
    <row r="15" spans="1:6" x14ac:dyDescent="0.25">
      <c r="A15">
        <v>8.5</v>
      </c>
      <c r="B15">
        <v>3</v>
      </c>
      <c r="C15">
        <v>13</v>
      </c>
      <c r="D15">
        <v>28</v>
      </c>
      <c r="E15" s="1">
        <f t="shared" si="0"/>
        <v>173.77340080999957</v>
      </c>
      <c r="F15" s="1">
        <f t="shared" si="1"/>
        <v>119.30500000000001</v>
      </c>
    </row>
    <row r="16" spans="1:6" x14ac:dyDescent="0.25">
      <c r="A16">
        <v>9</v>
      </c>
      <c r="B16">
        <v>3</v>
      </c>
      <c r="C16">
        <v>13</v>
      </c>
      <c r="D16">
        <v>28</v>
      </c>
      <c r="E16" s="1">
        <f t="shared" si="0"/>
        <v>179.0393</v>
      </c>
      <c r="F16" s="1">
        <f t="shared" si="1"/>
        <v>122.07</v>
      </c>
    </row>
    <row r="17" spans="1:6" x14ac:dyDescent="0.25">
      <c r="A17">
        <v>9.5</v>
      </c>
      <c r="B17">
        <v>3</v>
      </c>
      <c r="C17">
        <v>13</v>
      </c>
      <c r="D17">
        <v>28</v>
      </c>
      <c r="E17" s="1">
        <f t="shared" si="0"/>
        <v>184.1608455166845</v>
      </c>
      <c r="F17" s="1">
        <f t="shared" si="1"/>
        <v>124.83500000000001</v>
      </c>
    </row>
    <row r="18" spans="1:6" x14ac:dyDescent="0.25">
      <c r="A18">
        <v>10</v>
      </c>
      <c r="B18">
        <v>3</v>
      </c>
      <c r="C18">
        <v>13</v>
      </c>
      <c r="D18">
        <v>28</v>
      </c>
      <c r="E18" s="1">
        <f t="shared" si="0"/>
        <v>189.14929559508613</v>
      </c>
      <c r="F18" s="1">
        <f t="shared" si="1"/>
        <v>127.6</v>
      </c>
    </row>
    <row r="19" spans="1:6" x14ac:dyDescent="0.25">
      <c r="A19">
        <v>10.5</v>
      </c>
      <c r="B19">
        <v>3</v>
      </c>
      <c r="C19">
        <v>13</v>
      </c>
      <c r="D19">
        <v>28</v>
      </c>
      <c r="E19" s="1">
        <f t="shared" si="0"/>
        <v>194.01451697761436</v>
      </c>
      <c r="F19" s="1">
        <f t="shared" si="1"/>
        <v>130.36500000000001</v>
      </c>
    </row>
    <row r="20" spans="1:6" x14ac:dyDescent="0.25">
      <c r="A20">
        <v>11</v>
      </c>
      <c r="B20">
        <v>3</v>
      </c>
      <c r="C20">
        <v>13</v>
      </c>
      <c r="D20">
        <v>28</v>
      </c>
      <c r="E20" s="1">
        <f t="shared" si="0"/>
        <v>198.76521441401562</v>
      </c>
      <c r="F20" s="1">
        <f t="shared" si="1"/>
        <v>133.13</v>
      </c>
    </row>
    <row r="21" spans="1:6" x14ac:dyDescent="0.25">
      <c r="A21">
        <v>11.5</v>
      </c>
      <c r="B21">
        <v>3</v>
      </c>
      <c r="C21">
        <v>13</v>
      </c>
      <c r="D21">
        <v>28</v>
      </c>
      <c r="E21" s="1">
        <f t="shared" si="0"/>
        <v>203.40911367334704</v>
      </c>
      <c r="F21" s="1">
        <f t="shared" si="1"/>
        <v>135.89500000000001</v>
      </c>
    </row>
    <row r="22" spans="1:6" x14ac:dyDescent="0.25">
      <c r="A22">
        <v>12</v>
      </c>
      <c r="B22">
        <v>3</v>
      </c>
      <c r="C22">
        <v>13</v>
      </c>
      <c r="D22">
        <v>28</v>
      </c>
      <c r="E22" s="1">
        <f t="shared" si="0"/>
        <v>207.95310908405119</v>
      </c>
      <c r="F22" s="1">
        <f t="shared" si="1"/>
        <v>138.66</v>
      </c>
    </row>
    <row r="23" spans="1:6" x14ac:dyDescent="0.25">
      <c r="A23">
        <v>12.5</v>
      </c>
      <c r="B23">
        <v>3</v>
      </c>
      <c r="C23">
        <v>13</v>
      </c>
      <c r="D23">
        <v>28</v>
      </c>
      <c r="E23" s="1">
        <f t="shared" si="0"/>
        <v>212.40338365995311</v>
      </c>
      <c r="F23" s="1">
        <f t="shared" si="1"/>
        <v>141.42500000000001</v>
      </c>
    </row>
    <row r="24" spans="1:6" x14ac:dyDescent="0.25">
      <c r="A24">
        <v>13</v>
      </c>
      <c r="B24">
        <v>3</v>
      </c>
      <c r="C24">
        <v>13</v>
      </c>
      <c r="D24">
        <v>28</v>
      </c>
      <c r="E24" s="1">
        <f t="shared" si="0"/>
        <v>216.7655077921718</v>
      </c>
      <c r="F24" s="1">
        <f t="shared" si="1"/>
        <v>144.19</v>
      </c>
    </row>
    <row r="25" spans="1:6" x14ac:dyDescent="0.25">
      <c r="A25">
        <v>13.5</v>
      </c>
      <c r="B25">
        <v>3</v>
      </c>
      <c r="C25">
        <v>13</v>
      </c>
      <c r="D25">
        <v>28</v>
      </c>
      <c r="E25" s="1">
        <f t="shared" si="0"/>
        <v>221.04452100385652</v>
      </c>
      <c r="F25" s="1">
        <f t="shared" si="1"/>
        <v>146.95499999999998</v>
      </c>
    </row>
    <row r="26" spans="1:6" x14ac:dyDescent="0.25">
      <c r="A26">
        <v>14</v>
      </c>
      <c r="B26">
        <v>3</v>
      </c>
      <c r="C26">
        <v>13</v>
      </c>
      <c r="D26">
        <v>28</v>
      </c>
      <c r="E26" s="1">
        <f t="shared" si="0"/>
        <v>225.24500019044862</v>
      </c>
      <c r="F26" s="1">
        <f t="shared" si="1"/>
        <v>149.72</v>
      </c>
    </row>
    <row r="27" spans="1:6" x14ac:dyDescent="0.25">
      <c r="A27">
        <v>14.5</v>
      </c>
      <c r="B27">
        <v>3</v>
      </c>
      <c r="C27">
        <v>13</v>
      </c>
      <c r="D27">
        <v>28</v>
      </c>
      <c r="E27" s="1">
        <f t="shared" si="0"/>
        <v>229.3711169795925</v>
      </c>
      <c r="F27" s="1">
        <f t="shared" si="1"/>
        <v>152.48500000000001</v>
      </c>
    </row>
    <row r="28" spans="1:6" x14ac:dyDescent="0.25">
      <c r="A28">
        <v>15</v>
      </c>
      <c r="B28">
        <v>3</v>
      </c>
      <c r="C28">
        <v>13</v>
      </c>
      <c r="D28">
        <v>28</v>
      </c>
      <c r="E28" s="1">
        <f t="shared" si="0"/>
        <v>233.4266862587298</v>
      </c>
      <c r="F28" s="1">
        <f t="shared" si="1"/>
        <v>155.25</v>
      </c>
    </row>
    <row r="29" spans="1:6" x14ac:dyDescent="0.25">
      <c r="A29">
        <v>15.5</v>
      </c>
      <c r="B29">
        <v>3</v>
      </c>
      <c r="C29">
        <v>13</v>
      </c>
      <c r="D29">
        <v>28</v>
      </c>
      <c r="E29" s="1">
        <f t="shared" si="0"/>
        <v>237.41520747783011</v>
      </c>
      <c r="F29" s="1">
        <f t="shared" si="1"/>
        <v>158.01499999999999</v>
      </c>
    </row>
    <row r="30" spans="1:6" x14ac:dyDescent="0.25">
      <c r="A30">
        <v>16</v>
      </c>
      <c r="B30">
        <v>3</v>
      </c>
      <c r="C30">
        <v>13</v>
      </c>
      <c r="D30">
        <v>28</v>
      </c>
      <c r="E30" s="1">
        <f t="shared" si="0"/>
        <v>241.3399</v>
      </c>
      <c r="F30" s="1">
        <f t="shared" si="1"/>
        <v>160.78</v>
      </c>
    </row>
    <row r="31" spans="1:6" x14ac:dyDescent="0.25">
      <c r="A31">
        <v>16.5</v>
      </c>
      <c r="B31">
        <v>3</v>
      </c>
      <c r="C31">
        <v>13</v>
      </c>
      <c r="D31">
        <v>28</v>
      </c>
      <c r="E31" s="1">
        <f t="shared" si="0"/>
        <v>245.20373351593156</v>
      </c>
      <c r="F31" s="1">
        <f t="shared" si="1"/>
        <v>163.54500000000002</v>
      </c>
    </row>
    <row r="32" spans="1:6" x14ac:dyDescent="0.25">
      <c r="A32">
        <v>17</v>
      </c>
      <c r="B32">
        <v>3</v>
      </c>
      <c r="C32">
        <v>13</v>
      </c>
      <c r="D32">
        <v>28</v>
      </c>
      <c r="E32" s="1">
        <f t="shared" si="0"/>
        <v>249.00945433935561</v>
      </c>
      <c r="F32" s="1">
        <f t="shared" si="1"/>
        <v>166.31</v>
      </c>
    </row>
    <row r="33" spans="1:6" x14ac:dyDescent="0.25">
      <c r="A33">
        <v>17.5</v>
      </c>
      <c r="B33">
        <v>3</v>
      </c>
      <c r="C33">
        <v>13</v>
      </c>
      <c r="D33">
        <v>28</v>
      </c>
      <c r="E33" s="1">
        <f t="shared" si="0"/>
        <v>252.75960824544416</v>
      </c>
      <c r="F33" s="1">
        <f t="shared" si="1"/>
        <v>169.07499999999999</v>
      </c>
    </row>
    <row r="34" spans="1:6" x14ac:dyDescent="0.25">
      <c r="A34">
        <v>18</v>
      </c>
      <c r="B34">
        <v>3</v>
      </c>
      <c r="C34">
        <v>13</v>
      </c>
      <c r="D34">
        <v>28</v>
      </c>
      <c r="E34" s="1">
        <f t="shared" si="0"/>
        <v>256.4565603919437</v>
      </c>
      <c r="F34" s="1">
        <f t="shared" si="1"/>
        <v>171.84</v>
      </c>
    </row>
    <row r="35" spans="1:6" x14ac:dyDescent="0.25">
      <c r="A35">
        <v>18.5</v>
      </c>
      <c r="B35">
        <v>3</v>
      </c>
      <c r="C35">
        <v>13</v>
      </c>
      <c r="D35">
        <v>28</v>
      </c>
      <c r="E35" s="1">
        <f t="shared" si="0"/>
        <v>260.10251276595795</v>
      </c>
      <c r="F35" s="1">
        <f t="shared" si="1"/>
        <v>174.60500000000002</v>
      </c>
    </row>
    <row r="36" spans="1:6" x14ac:dyDescent="0.25">
      <c r="A36">
        <v>19</v>
      </c>
      <c r="B36">
        <v>3</v>
      </c>
      <c r="C36">
        <v>13</v>
      </c>
      <c r="D36">
        <v>28</v>
      </c>
      <c r="E36" s="1">
        <f t="shared" si="0"/>
        <v>263.69951952195009</v>
      </c>
      <c r="F36" s="1">
        <f t="shared" si="1"/>
        <v>177.37</v>
      </c>
    </row>
    <row r="37" spans="1:6" x14ac:dyDescent="0.25">
      <c r="A37">
        <v>19.5</v>
      </c>
      <c r="B37">
        <v>3</v>
      </c>
      <c r="C37">
        <v>13</v>
      </c>
      <c r="D37">
        <v>28</v>
      </c>
      <c r="E37" s="1">
        <f t="shared" si="0"/>
        <v>267.24950051437236</v>
      </c>
      <c r="F37" s="1">
        <f t="shared" si="1"/>
        <v>180.13499999999999</v>
      </c>
    </row>
    <row r="38" spans="1:6" x14ac:dyDescent="0.25">
      <c r="A38">
        <v>20</v>
      </c>
      <c r="B38">
        <v>3</v>
      </c>
      <c r="C38">
        <v>13</v>
      </c>
      <c r="D38">
        <v>28</v>
      </c>
      <c r="E38" s="1">
        <f t="shared" si="0"/>
        <v>270.7542532780468</v>
      </c>
      <c r="F38" s="1">
        <f t="shared" si="1"/>
        <v>182.9</v>
      </c>
    </row>
  </sheetData>
  <pageMargins left="0.7" right="0.7" top="0.75" bottom="0.75" header="0.3" footer="0.3"/>
  <headerFooter>
    <oddHeader>&amp;C&amp;"Calibri"&amp;10&amp;K000000 OFFICIAL&amp;1#_x000D_</oddHead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7F60A70B71B43A90E919BAA885092" ma:contentTypeVersion="24" ma:contentTypeDescription="Create a new document." ma:contentTypeScope="" ma:versionID="feb3bff71ecb4e7ab205138055c8597f">
  <xsd:schema xmlns:xsd="http://www.w3.org/2001/XMLSchema" xmlns:xs="http://www.w3.org/2001/XMLSchema" xmlns:p="http://schemas.microsoft.com/office/2006/metadata/properties" xmlns:ns2="0063f72e-ace3-48fb-9c1f-5b513408b31f" xmlns:ns3="316c9410-b6ac-44c8-8089-637ee62e1d35" xmlns:ns4="b413c3fd-5a3b-4239-b985-69032e371c04" xmlns:ns5="a8f60570-4bd3-4f2b-950b-a996de8ab151" xmlns:ns6="aaacb922-5235-4a66-b188-303b9b46fbd7" xmlns:ns7="ba38cd17-3073-44f8-b5c6-358abbba2b98" targetNamespace="http://schemas.microsoft.com/office/2006/metadata/properties" ma:root="true" ma:fieldsID="1b189d0c3c0d5d86410ae2a9ad46e70d" ns2:_="" ns3:_="" ns4:_="" ns5:_="" ns6:_="" ns7:_="">
    <xsd:import namespace="0063f72e-ace3-48fb-9c1f-5b513408b31f"/>
    <xsd:import namespace="316c9410-b6ac-44c8-8089-637ee62e1d35"/>
    <xsd:import namespace="b413c3fd-5a3b-4239-b985-69032e371c04"/>
    <xsd:import namespace="a8f60570-4bd3-4f2b-950b-a996de8ab151"/>
    <xsd:import namespace="aaacb922-5235-4a66-b188-303b9b46fbd7"/>
    <xsd:import namespace="ba38cd17-3073-44f8-b5c6-358abbba2b98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Descriptor" minOccurs="0"/>
                <xsd:element ref="ns3:m975189f4ba442ecbf67d4147307b177" minOccurs="0"/>
                <xsd:element ref="ns3:TaxCatchAll" minOccurs="0"/>
                <xsd:element ref="ns3:TaxCatchAllLabel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7:MediaServiceDateTaken" minOccurs="0"/>
                <xsd:element ref="ns7:MediaLengthInSeconds" minOccurs="0"/>
                <xsd:element ref="ns3:SharedWithUsers" minOccurs="0"/>
                <xsd:element ref="ns3:SharedWithDetails" minOccurs="0"/>
                <xsd:element ref="ns7:lcf76f155ced4ddcb4097134ff3c332f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7:MediaServiceObjectDetectorVersions" minOccurs="0"/>
                <xsd:element ref="ns7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8" nillable="true" ma:displayName="Security Classification" ma:default="OFFICIAL" ma:format="Dropdown" ma:indexed="true" ma:internalName="Security_x0020_Classification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9" nillable="true" ma:displayName="Descriptor" ma:default="" ma:format="Dropdown" ma:indexed="true" ma:internalName="Descriptor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6c9410-b6ac-44c8-8089-637ee62e1d35" elementFormDefault="qualified">
    <xsd:import namespace="http://schemas.microsoft.com/office/2006/documentManagement/types"/>
    <xsd:import namespace="http://schemas.microsoft.com/office/infopath/2007/PartnerControls"/>
    <xsd:element name="m975189f4ba442ecbf67d4147307b177" ma:index="10" nillable="true" ma:taxonomy="true" ma:internalName="m975189f4ba442ecbf67d4147307b177" ma:taxonomyFieldName="Business_x0020_Unit" ma:displayName="Business Unit" ma:default="1;#Science and Innovation for Climate and Energy|ba4af673-c668-46d1-96d7-6fcdfcb7d67d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f09db63e-d3fd-48f5-8a25-83153ed1ed9a}" ma:internalName="TaxCatchAll" ma:showField="CatchAllData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f09db63e-d3fd-48f5-8a25-83153ed1ed9a}" ma:internalName="TaxCatchAllLabel" ma:readOnly="true" ma:showField="CatchAllDataLabel" ma:web="316c9410-b6ac-44c8-8089-637ee62e1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3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2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14" nillable="true" ma:displayName="Government Body" ma:default="BEIS" ma:internalName="Government_x0020_Body">
      <xsd:simpleType>
        <xsd:restriction base="dms:Text">
          <xsd:maxLength value="255"/>
        </xsd:restriction>
      </xsd:simpleType>
    </xsd:element>
    <xsd:element name="Date_x0020_Opened" ma:index="15" nillable="true" ma:displayName="Date Opened" ma:default="[Today]" ma:format="DateOnly" ma:internalName="Date_x0020_Opened">
      <xsd:simpleType>
        <xsd:restriction base="dms:DateTime"/>
      </xsd:simpleType>
    </xsd:element>
    <xsd:element name="Date_x0020_Closed" ma:index="16" nillable="true" ma:displayName="Date Closed" ma:format="DateOnly" ma:internalName="Date_x0020_Closed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17" nillable="true" ma:displayName="Retention Label" ma:internalName="Retention_x0020_Label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18" nillable="true" ma:displayName="Legacy Data" ma:internalName="LegacyData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38cd17-3073-44f8-b5c6-358abbba2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2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31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egacyData xmlns="aaacb922-5235-4a66-b188-303b9b46fbd7" xsi:nil="true"/>
    <_dlc_DocId xmlns="316c9410-b6ac-44c8-8089-637ee62e1d35">UKP6YCUVAJUN-89092467-21199</_dlc_DocId>
    <m975189f4ba442ecbf67d4147307b177 xmlns="316c9410-b6ac-44c8-8089-637ee62e1d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Science and Innovation for Climate and Energy</TermName>
          <TermId xmlns="http://schemas.microsoft.com/office/infopath/2007/PartnerControls">ba4af673-c668-46d1-96d7-6fcdfcb7d67d</TermId>
        </TermInfo>
      </Terms>
    </m975189f4ba442ecbf67d4147307b177>
    <Retention_x0020_Label xmlns="a8f60570-4bd3-4f2b-950b-a996de8ab151" xsi:nil="true"/>
    <Government_x0020_Body xmlns="b413c3fd-5a3b-4239-b985-69032e371c04">BEIS</Government_x0020_Body>
    <Date_x0020_Opened xmlns="b413c3fd-5a3b-4239-b985-69032e371c04">2025-03-26T10:43:10+00:00</Date_x0020_Opened>
    <Descriptor xmlns="0063f72e-ace3-48fb-9c1f-5b513408b31f" xsi:nil="true"/>
    <Security_x0020_Classification xmlns="0063f72e-ace3-48fb-9c1f-5b513408b31f">OFFICIAL</Security_x0020_Classification>
    <_dlc_DocIdUrl xmlns="316c9410-b6ac-44c8-8089-637ee62e1d35">
      <Url>https://beisgov.sharepoint.com/sites/EnergyEngineeringSICE/_layouts/15/DocIdRedir.aspx?ID=UKP6YCUVAJUN-89092467-21199</Url>
      <Description>UKP6YCUVAJUN-89092467-21199</Description>
    </_dlc_DocIdUrl>
    <Date_x0020_Closed xmlns="b413c3fd-5a3b-4239-b985-69032e371c04" xsi:nil="true"/>
    <lcf76f155ced4ddcb4097134ff3c332f xmlns="ba38cd17-3073-44f8-b5c6-358abbba2b98">
      <Terms xmlns="http://schemas.microsoft.com/office/infopath/2007/PartnerControls"/>
    </lcf76f155ced4ddcb4097134ff3c332f>
    <TaxCatchAll xmlns="316c9410-b6ac-44c8-8089-637ee62e1d35">
      <Value>1</Value>
    </TaxCatchAl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065BDD8-D630-41B5-8DF2-2DF5589869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63f72e-ace3-48fb-9c1f-5b513408b31f"/>
    <ds:schemaRef ds:uri="316c9410-b6ac-44c8-8089-637ee62e1d35"/>
    <ds:schemaRef ds:uri="b413c3fd-5a3b-4239-b985-69032e371c04"/>
    <ds:schemaRef ds:uri="a8f60570-4bd3-4f2b-950b-a996de8ab151"/>
    <ds:schemaRef ds:uri="aaacb922-5235-4a66-b188-303b9b46fbd7"/>
    <ds:schemaRef ds:uri="ba38cd17-3073-44f8-b5c6-358abbba2b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727585-D718-4B8F-9635-999D009EB4FA}">
  <ds:schemaRefs>
    <ds:schemaRef ds:uri="http://schemas.microsoft.com/office/2006/metadata/properties"/>
    <ds:schemaRef ds:uri="http://schemas.microsoft.com/office/infopath/2007/PartnerControls"/>
    <ds:schemaRef ds:uri="aaacb922-5235-4a66-b188-303b9b46fbd7"/>
    <ds:schemaRef ds:uri="316c9410-b6ac-44c8-8089-637ee62e1d35"/>
    <ds:schemaRef ds:uri="a8f60570-4bd3-4f2b-950b-a996de8ab151"/>
    <ds:schemaRef ds:uri="b413c3fd-5a3b-4239-b985-69032e371c04"/>
    <ds:schemaRef ds:uri="0063f72e-ace3-48fb-9c1f-5b513408b31f"/>
    <ds:schemaRef ds:uri="ba38cd17-3073-44f8-b5c6-358abbba2b98"/>
  </ds:schemaRefs>
</ds:datastoreItem>
</file>

<file path=customXml/itemProps3.xml><?xml version="1.0" encoding="utf-8"?>
<ds:datastoreItem xmlns:ds="http://schemas.openxmlformats.org/officeDocument/2006/customXml" ds:itemID="{5976C899-D0C3-4D1C-A447-19C1CEC12C8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07AEF39-6EAF-41CF-A76F-BDE8C292880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Tucker, Matthew (Energy Security)</dc:creator>
  <cp:lastModifiedBy>Ryan Tucker, Matthew (Energy Security)</cp:lastModifiedBy>
  <dcterms:created xsi:type="dcterms:W3CDTF">2025-03-26T10:41:02Z</dcterms:created>
  <dcterms:modified xsi:type="dcterms:W3CDTF">2025-03-27T15:50:24Z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2025-03-26T10:42:26Z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c391d69f-7d51-4afe-bf42-fa23c8a0f582</vt:lpwstr>
  </property>
  <property fmtid="{D5CDD505-2E9C-101B-9397-08002B2CF9AE}" pid="8" name="MSIP_Label_ba62f585-b40f-4ab9-bafe-39150f03d124_ContentBits">
    <vt:lpwstr>3</vt:lpwstr>
  </property>
  <property fmtid="{D5CDD505-2E9C-101B-9397-08002B2CF9AE}" pid="9" name="MSIP_Label_ba62f585-b40f-4ab9-bafe-39150f03d124_Tag">
    <vt:lpwstr>10, 3, 0, 1</vt:lpwstr>
  </property>
  <property fmtid="{D5CDD505-2E9C-101B-9397-08002B2CF9AE}" pid="10" name="Business Unit">
    <vt:lpwstr>1;#Science and Innovation for Climate and Energy|ba4af673-c668-46d1-96d7-6fcdfcb7d67d</vt:lpwstr>
  </property>
  <property fmtid="{D5CDD505-2E9C-101B-9397-08002B2CF9AE}" pid="11" name="ContentTypeId">
    <vt:lpwstr>0x0101002B97F60A70B71B43A90E919BAA885092</vt:lpwstr>
  </property>
  <property fmtid="{D5CDD505-2E9C-101B-9397-08002B2CF9AE}" pid="12" name="_dlc_DocIdItemGuid">
    <vt:lpwstr>e3c600e3-ee02-4252-b3d5-0c0843dc07ab</vt:lpwstr>
  </property>
  <property fmtid="{D5CDD505-2E9C-101B-9397-08002B2CF9AE}" pid="13" name="MediaServiceImageTags">
    <vt:lpwstr/>
  </property>
  <property fmtid="{D5CDD505-2E9C-101B-9397-08002B2CF9AE}" pid="14" name="Business_x0020_Unit">
    <vt:lpwstr>1;#Science and Innovation for Climate and Energy|ba4af673-c668-46d1-96d7-6fcdfcb7d67d</vt:lpwstr>
  </property>
</Properties>
</file>